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CHA Employee Portal — Leave Balance Validation</t>
        </is>
      </c>
    </row>
    <row r="2">
      <c r="A2" t="inlineStr"/>
    </row>
    <row r="3">
      <c r="A3" t="inlineStr">
        <is>
          <t>Purpose: confirm the portal's PTO/sick accrual calculation matches what CHA has actually been applying,</t>
        </is>
      </c>
    </row>
    <row r="4">
      <c r="A4" t="inlineStr">
        <is>
          <t>and capture each employee's current balance so it can be seeded into the portal before the parallel-run pilot.</t>
        </is>
      </c>
    </row>
    <row r="5">
      <c r="A5" t="inlineStr"/>
    </row>
    <row r="6">
      <c r="A6" t="inlineStr">
        <is>
          <t>How to fill this in:</t>
        </is>
      </c>
    </row>
    <row r="7">
      <c r="A7" t="inlineStr">
        <is>
          <t>1. Set the 'As Of Date' in the Accrual Policy Reference block on the 'Validation' tab — this is the snapshot date</t>
        </is>
      </c>
    </row>
    <row r="8">
      <c r="A8" t="inlineStr">
        <is>
          <t xml:space="preserve">   all balances and tenure calculations are measured against (e.g. the pilot's planned go-live date).</t>
        </is>
      </c>
    </row>
    <row r="9">
      <c r="A9" t="inlineStr">
        <is>
          <t>2. Go to the 'Validation' tab. One row per employee.</t>
        </is>
      </c>
    </row>
    <row r="10">
      <c r="A10" t="inlineStr">
        <is>
          <t>3. Enter Employee Name and Hire Date (green cells) — Tenure, Tier, and System Accrual Rate calculate automatically.</t>
        </is>
      </c>
    </row>
    <row r="11">
      <c r="A11" t="inlineStr">
        <is>
          <t>4. Enter CHA's own current per-period PTO accrual rate and current PTO/Sick/Personal balances (green cells)</t>
        </is>
      </c>
    </row>
    <row r="12">
      <c r="A12" t="inlineStr">
        <is>
          <t xml:space="preserve">   from CHA's existing system, as of the As Of Date above.</t>
        </is>
      </c>
    </row>
    <row r="13">
      <c r="A13" t="inlineStr">
        <is>
          <t>5. The Match? columns (gray) flag automatically if CHA's rate differs from what the portal would calculate,</t>
        </is>
      </c>
    </row>
    <row r="14">
      <c r="A14" t="inlineStr">
        <is>
          <t xml:space="preserve">   or if a PTO balance exceeds the 400-hour carryover cap.</t>
        </is>
      </c>
    </row>
    <row r="15">
      <c r="A15" t="inlineStr">
        <is>
          <t>6. Anything flagged FALSE needs a look before that employee's data is loaded — either CHA's system has a</t>
        </is>
      </c>
    </row>
    <row r="16">
      <c r="A16" t="inlineStr">
        <is>
          <t xml:space="preserve">   different rate for a reason (note it), or there's a real discrepancy to fix before go-live.</t>
        </is>
      </c>
    </row>
    <row r="17">
      <c r="A17" t="inlineStr"/>
    </row>
    <row r="18">
      <c r="A18" t="inlineStr">
        <is>
          <t>Policy encoded in this sheet (from the Phase 1 build):</t>
        </is>
      </c>
    </row>
    <row r="19">
      <c r="A19" t="inlineStr">
        <is>
          <t xml:space="preserve">  PTO tiers:  0–12 mo = 4.62 hrs/period · 13–24 mo = 5.08 · 25–36 mo = 5.54 · 36+ mo = 6.00</t>
        </is>
      </c>
    </row>
    <row r="20">
      <c r="A20" t="inlineStr">
        <is>
          <t xml:space="preserve">  Sick:       3.69 hrs/period, fixed, no cap</t>
        </is>
      </c>
    </row>
    <row r="21">
      <c r="A21" t="inlineStr">
        <is>
          <t xml:space="preserve">  Personal:   3 days/year, forfeited if unused</t>
        </is>
      </c>
    </row>
    <row r="22">
      <c r="A22" t="inlineStr">
        <is>
          <t xml:space="preserve">  PTO carryover cap: 400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3" customWidth="1" min="8" max="8"/>
    <col width="11" customWidth="1" min="9" max="9"/>
    <col width="16" customWidth="1" min="10" max="10"/>
    <col width="12" customWidth="1" min="11" max="11"/>
    <col width="15" customWidth="1" min="12" max="12"/>
    <col width="18" customWidth="1" min="13" max="13"/>
    <col width="26" customWidth="1" min="14" max="14"/>
  </cols>
  <sheetData>
    <row r="1">
      <c r="A1" s="2" t="inlineStr">
        <is>
          <t>Accrual Policy Reference</t>
        </is>
      </c>
    </row>
    <row r="2">
      <c r="A2" s="3" t="inlineStr">
        <is>
          <t>As Of Date</t>
        </is>
      </c>
      <c r="B2" s="4">
        <f>TODAY()</f>
        <v/>
      </c>
    </row>
    <row r="3">
      <c r="A3" s="3" t="inlineStr">
        <is>
          <t>Tier 1 max months (0–12 mo)</t>
        </is>
      </c>
      <c r="B3" s="5" t="n">
        <v>12</v>
      </c>
    </row>
    <row r="4">
      <c r="A4" s="3" t="inlineStr">
        <is>
          <t>Tier 2 max months (13–24 mo)</t>
        </is>
      </c>
      <c r="B4" s="5" t="n">
        <v>24</v>
      </c>
    </row>
    <row r="5">
      <c r="A5" s="3" t="inlineStr">
        <is>
          <t>Tier 3 max months (25–36 mo)</t>
        </is>
      </c>
      <c r="B5" s="5" t="n">
        <v>36</v>
      </c>
    </row>
    <row r="6">
      <c r="A6" s="3" t="inlineStr">
        <is>
          <t>Tier 1 PTO rate (hrs/period)</t>
        </is>
      </c>
      <c r="B6" s="5" t="n">
        <v>4.62</v>
      </c>
    </row>
    <row r="7">
      <c r="A7" s="3" t="inlineStr">
        <is>
          <t>Tier 2 PTO rate (hrs/period)</t>
        </is>
      </c>
      <c r="B7" s="5" t="n">
        <v>5.08</v>
      </c>
    </row>
    <row r="8">
      <c r="A8" s="3" t="inlineStr">
        <is>
          <t>Tier 3 PTO rate (hrs/period)</t>
        </is>
      </c>
      <c r="B8" s="5" t="n">
        <v>5.54</v>
      </c>
    </row>
    <row r="9">
      <c r="A9" s="3" t="inlineStr">
        <is>
          <t>Tier 4 PTO rate (hrs/period, 36+ mo)</t>
        </is>
      </c>
      <c r="B9" s="5" t="n">
        <v>6</v>
      </c>
    </row>
    <row r="10">
      <c r="A10" s="3" t="inlineStr">
        <is>
          <t>Sick rate (hrs/period, fixed)</t>
        </is>
      </c>
      <c r="B10" s="5" t="n">
        <v>3.69</v>
      </c>
    </row>
    <row r="11">
      <c r="A11" s="3" t="inlineStr">
        <is>
          <t>PTO carryover cap (hrs)</t>
        </is>
      </c>
      <c r="B11" s="5" t="n">
        <v>400</v>
      </c>
    </row>
    <row r="13">
      <c r="A13" s="6" t="inlineStr">
        <is>
          <t>Employee Name</t>
        </is>
      </c>
      <c r="B13" s="6" t="inlineStr">
        <is>
          <t>Hire Date</t>
        </is>
      </c>
      <c r="C13" s="6" t="inlineStr">
        <is>
          <t>Tenure (months)</t>
        </is>
      </c>
      <c r="D13" s="6" t="inlineStr">
        <is>
          <t>System Tier</t>
        </is>
      </c>
      <c r="E13" s="6" t="inlineStr">
        <is>
          <t>System PTO Rate/period</t>
        </is>
      </c>
      <c r="F13" s="6" t="inlineStr">
        <is>
          <t>CHA PTO Rate/period</t>
        </is>
      </c>
      <c r="G13" s="6" t="inlineStr">
        <is>
          <t>PTO Rate Match?</t>
        </is>
      </c>
      <c r="H13" s="6" t="inlineStr">
        <is>
          <t>CHA Sick Rate/period</t>
        </is>
      </c>
      <c r="I13" s="6" t="inlineStr">
        <is>
          <t>Sick Rate Match?</t>
        </is>
      </c>
      <c r="J13" s="6" t="inlineStr">
        <is>
          <t>CHA Current PTO Balance (hrs)</t>
        </is>
      </c>
      <c r="K13" s="6" t="inlineStr">
        <is>
          <t>Under 400hr Cap?</t>
        </is>
      </c>
      <c r="L13" s="6" t="inlineStr">
        <is>
          <t>CHA Current Sick Balance (hrs)</t>
        </is>
      </c>
      <c r="M13" s="6" t="inlineStr">
        <is>
          <t>CHA Current Personal Balance (hrs)</t>
        </is>
      </c>
      <c r="N13" s="6" t="inlineStr">
        <is>
          <t>Notes</t>
        </is>
      </c>
    </row>
    <row r="14">
      <c r="A14" s="7" t="n"/>
      <c r="B14" s="8" t="n"/>
      <c r="C14" s="9">
        <f>IF(B14="","",DATEDIF(B14,$B$2,"m"))</f>
        <v/>
      </c>
      <c r="D14" s="9">
        <f>IF(C14="","",IF(C14&lt;=$B$3,"0-12 mo",IF(C14&lt;=$B$4,"13-24 mo",IF(C14&lt;=$B$5,"25-36 mo","36+ mo"))))</f>
        <v/>
      </c>
      <c r="E14" s="9">
        <f>IF(C14="","",IF(C14&lt;=$B$3,$B$6,IF(C14&lt;=$B$4,$B$7,IF(C14&lt;=$B$5,$B$8,$B$9))))</f>
        <v/>
      </c>
      <c r="F14" s="7" t="n"/>
      <c r="G14" s="9">
        <f>IF(OR(E14="",F14=""),"",ROUND(E14,2)=ROUND(F14,2))</f>
        <v/>
      </c>
      <c r="H14" s="7" t="n"/>
      <c r="I14" s="9">
        <f>IF(H14="","",ROUND(H14,2)=ROUND($B$10,2))</f>
        <v/>
      </c>
      <c r="J14" s="7" t="n"/>
      <c r="K14" s="9">
        <f>IF(J14="","",J14&lt;=$B$11)</f>
        <v/>
      </c>
      <c r="L14" s="7" t="n"/>
      <c r="M14" s="7" t="n"/>
      <c r="N14" s="3" t="n"/>
    </row>
    <row r="15">
      <c r="A15" s="7" t="n"/>
      <c r="B15" s="8" t="n"/>
      <c r="C15" s="9">
        <f>IF(B15="","",DATEDIF(B15,$B$2,"m"))</f>
        <v/>
      </c>
      <c r="D15" s="9">
        <f>IF(C15="","",IF(C15&lt;=$B$3,"0-12 mo",IF(C15&lt;=$B$4,"13-24 mo",IF(C15&lt;=$B$5,"25-36 mo","36+ mo"))))</f>
        <v/>
      </c>
      <c r="E15" s="9">
        <f>IF(C15="","",IF(C15&lt;=$B$3,$B$6,IF(C15&lt;=$B$4,$B$7,IF(C15&lt;=$B$5,$B$8,$B$9))))</f>
        <v/>
      </c>
      <c r="F15" s="7" t="n"/>
      <c r="G15" s="9">
        <f>IF(OR(E15="",F15=""),"",ROUND(E15,2)=ROUND(F15,2))</f>
        <v/>
      </c>
      <c r="H15" s="7" t="n"/>
      <c r="I15" s="9">
        <f>IF(H15="","",ROUND(H15,2)=ROUND($B$10,2))</f>
        <v/>
      </c>
      <c r="J15" s="7" t="n"/>
      <c r="K15" s="9">
        <f>IF(J15="","",J15&lt;=$B$11)</f>
        <v/>
      </c>
      <c r="L15" s="7" t="n"/>
      <c r="M15" s="7" t="n"/>
      <c r="N15" s="3" t="n"/>
    </row>
    <row r="16">
      <c r="A16" s="7" t="n"/>
      <c r="B16" s="8" t="n"/>
      <c r="C16" s="9">
        <f>IF(B16="","",DATEDIF(B16,$B$2,"m"))</f>
        <v/>
      </c>
      <c r="D16" s="9">
        <f>IF(C16="","",IF(C16&lt;=$B$3,"0-12 mo",IF(C16&lt;=$B$4,"13-24 mo",IF(C16&lt;=$B$5,"25-36 mo","36+ mo"))))</f>
        <v/>
      </c>
      <c r="E16" s="9">
        <f>IF(C16="","",IF(C16&lt;=$B$3,$B$6,IF(C16&lt;=$B$4,$B$7,IF(C16&lt;=$B$5,$B$8,$B$9))))</f>
        <v/>
      </c>
      <c r="F16" s="7" t="n"/>
      <c r="G16" s="9">
        <f>IF(OR(E16="",F16=""),"",ROUND(E16,2)=ROUND(F16,2))</f>
        <v/>
      </c>
      <c r="H16" s="7" t="n"/>
      <c r="I16" s="9">
        <f>IF(H16="","",ROUND(H16,2)=ROUND($B$10,2))</f>
        <v/>
      </c>
      <c r="J16" s="7" t="n"/>
      <c r="K16" s="9">
        <f>IF(J16="","",J16&lt;=$B$11)</f>
        <v/>
      </c>
      <c r="L16" s="7" t="n"/>
      <c r="M16" s="7" t="n"/>
      <c r="N16" s="3" t="n"/>
    </row>
    <row r="17">
      <c r="A17" s="7" t="n"/>
      <c r="B17" s="8" t="n"/>
      <c r="C17" s="9">
        <f>IF(B17="","",DATEDIF(B17,$B$2,"m"))</f>
        <v/>
      </c>
      <c r="D17" s="9">
        <f>IF(C17="","",IF(C17&lt;=$B$3,"0-12 mo",IF(C17&lt;=$B$4,"13-24 mo",IF(C17&lt;=$B$5,"25-36 mo","36+ mo"))))</f>
        <v/>
      </c>
      <c r="E17" s="9">
        <f>IF(C17="","",IF(C17&lt;=$B$3,$B$6,IF(C17&lt;=$B$4,$B$7,IF(C17&lt;=$B$5,$B$8,$B$9))))</f>
        <v/>
      </c>
      <c r="F17" s="7" t="n"/>
      <c r="G17" s="9">
        <f>IF(OR(E17="",F17=""),"",ROUND(E17,2)=ROUND(F17,2))</f>
        <v/>
      </c>
      <c r="H17" s="7" t="n"/>
      <c r="I17" s="9">
        <f>IF(H17="","",ROUND(H17,2)=ROUND($B$10,2))</f>
        <v/>
      </c>
      <c r="J17" s="7" t="n"/>
      <c r="K17" s="9">
        <f>IF(J17="","",J17&lt;=$B$11)</f>
        <v/>
      </c>
      <c r="L17" s="7" t="n"/>
      <c r="M17" s="7" t="n"/>
      <c r="N17" s="3" t="n"/>
    </row>
    <row r="18">
      <c r="A18" s="7" t="n"/>
      <c r="B18" s="8" t="n"/>
      <c r="C18" s="9">
        <f>IF(B18="","",DATEDIF(B18,$B$2,"m"))</f>
        <v/>
      </c>
      <c r="D18" s="9">
        <f>IF(C18="","",IF(C18&lt;=$B$3,"0-12 mo",IF(C18&lt;=$B$4,"13-24 mo",IF(C18&lt;=$B$5,"25-36 mo","36+ mo"))))</f>
        <v/>
      </c>
      <c r="E18" s="9">
        <f>IF(C18="","",IF(C18&lt;=$B$3,$B$6,IF(C18&lt;=$B$4,$B$7,IF(C18&lt;=$B$5,$B$8,$B$9))))</f>
        <v/>
      </c>
      <c r="F18" s="7" t="n"/>
      <c r="G18" s="9">
        <f>IF(OR(E18="",F18=""),"",ROUND(E18,2)=ROUND(F18,2))</f>
        <v/>
      </c>
      <c r="H18" s="7" t="n"/>
      <c r="I18" s="9">
        <f>IF(H18="","",ROUND(H18,2)=ROUND($B$10,2))</f>
        <v/>
      </c>
      <c r="J18" s="7" t="n"/>
      <c r="K18" s="9">
        <f>IF(J18="","",J18&lt;=$B$11)</f>
        <v/>
      </c>
      <c r="L18" s="7" t="n"/>
      <c r="M18" s="7" t="n"/>
      <c r="N18" s="3" t="n"/>
    </row>
    <row r="19">
      <c r="A19" s="7" t="n"/>
      <c r="B19" s="8" t="n"/>
      <c r="C19" s="9">
        <f>IF(B19="","",DATEDIF(B19,$B$2,"m"))</f>
        <v/>
      </c>
      <c r="D19" s="9">
        <f>IF(C19="","",IF(C19&lt;=$B$3,"0-12 mo",IF(C19&lt;=$B$4,"13-24 mo",IF(C19&lt;=$B$5,"25-36 mo","36+ mo"))))</f>
        <v/>
      </c>
      <c r="E19" s="9">
        <f>IF(C19="","",IF(C19&lt;=$B$3,$B$6,IF(C19&lt;=$B$4,$B$7,IF(C19&lt;=$B$5,$B$8,$B$9))))</f>
        <v/>
      </c>
      <c r="F19" s="7" t="n"/>
      <c r="G19" s="9">
        <f>IF(OR(E19="",F19=""),"",ROUND(E19,2)=ROUND(F19,2))</f>
        <v/>
      </c>
      <c r="H19" s="7" t="n"/>
      <c r="I19" s="9">
        <f>IF(H19="","",ROUND(H19,2)=ROUND($B$10,2))</f>
        <v/>
      </c>
      <c r="J19" s="7" t="n"/>
      <c r="K19" s="9">
        <f>IF(J19="","",J19&lt;=$B$11)</f>
        <v/>
      </c>
      <c r="L19" s="7" t="n"/>
      <c r="M19" s="7" t="n"/>
      <c r="N19" s="3" t="n"/>
    </row>
    <row r="20">
      <c r="A20" s="7" t="n"/>
      <c r="B20" s="8" t="n"/>
      <c r="C20" s="9">
        <f>IF(B20="","",DATEDIF(B20,$B$2,"m"))</f>
        <v/>
      </c>
      <c r="D20" s="9">
        <f>IF(C20="","",IF(C20&lt;=$B$3,"0-12 mo",IF(C20&lt;=$B$4,"13-24 mo",IF(C20&lt;=$B$5,"25-36 mo","36+ mo"))))</f>
        <v/>
      </c>
      <c r="E20" s="9">
        <f>IF(C20="","",IF(C20&lt;=$B$3,$B$6,IF(C20&lt;=$B$4,$B$7,IF(C20&lt;=$B$5,$B$8,$B$9))))</f>
        <v/>
      </c>
      <c r="F20" s="7" t="n"/>
      <c r="G20" s="9">
        <f>IF(OR(E20="",F20=""),"",ROUND(E20,2)=ROUND(F20,2))</f>
        <v/>
      </c>
      <c r="H20" s="7" t="n"/>
      <c r="I20" s="9">
        <f>IF(H20="","",ROUND(H20,2)=ROUND($B$10,2))</f>
        <v/>
      </c>
      <c r="J20" s="7" t="n"/>
      <c r="K20" s="9">
        <f>IF(J20="","",J20&lt;=$B$11)</f>
        <v/>
      </c>
      <c r="L20" s="7" t="n"/>
      <c r="M20" s="7" t="n"/>
      <c r="N20" s="3" t="n"/>
    </row>
    <row r="21">
      <c r="A21" s="7" t="n"/>
      <c r="B21" s="8" t="n"/>
      <c r="C21" s="9">
        <f>IF(B21="","",DATEDIF(B21,$B$2,"m"))</f>
        <v/>
      </c>
      <c r="D21" s="9">
        <f>IF(C21="","",IF(C21&lt;=$B$3,"0-12 mo",IF(C21&lt;=$B$4,"13-24 mo",IF(C21&lt;=$B$5,"25-36 mo","36+ mo"))))</f>
        <v/>
      </c>
      <c r="E21" s="9">
        <f>IF(C21="","",IF(C21&lt;=$B$3,$B$6,IF(C21&lt;=$B$4,$B$7,IF(C21&lt;=$B$5,$B$8,$B$9))))</f>
        <v/>
      </c>
      <c r="F21" s="7" t="n"/>
      <c r="G21" s="9">
        <f>IF(OR(E21="",F21=""),"",ROUND(E21,2)=ROUND(F21,2))</f>
        <v/>
      </c>
      <c r="H21" s="7" t="n"/>
      <c r="I21" s="9">
        <f>IF(H21="","",ROUND(H21,2)=ROUND($B$10,2))</f>
        <v/>
      </c>
      <c r="J21" s="7" t="n"/>
      <c r="K21" s="9">
        <f>IF(J21="","",J21&lt;=$B$11)</f>
        <v/>
      </c>
      <c r="L21" s="7" t="n"/>
      <c r="M21" s="7" t="n"/>
      <c r="N21" s="3" t="n"/>
    </row>
    <row r="22">
      <c r="A22" s="7" t="n"/>
      <c r="B22" s="8" t="n"/>
      <c r="C22" s="9">
        <f>IF(B22="","",DATEDIF(B22,$B$2,"m"))</f>
        <v/>
      </c>
      <c r="D22" s="9">
        <f>IF(C22="","",IF(C22&lt;=$B$3,"0-12 mo",IF(C22&lt;=$B$4,"13-24 mo",IF(C22&lt;=$B$5,"25-36 mo","36+ mo"))))</f>
        <v/>
      </c>
      <c r="E22" s="9">
        <f>IF(C22="","",IF(C22&lt;=$B$3,$B$6,IF(C22&lt;=$B$4,$B$7,IF(C22&lt;=$B$5,$B$8,$B$9))))</f>
        <v/>
      </c>
      <c r="F22" s="7" t="n"/>
      <c r="G22" s="9">
        <f>IF(OR(E22="",F22=""),"",ROUND(E22,2)=ROUND(F22,2))</f>
        <v/>
      </c>
      <c r="H22" s="7" t="n"/>
      <c r="I22" s="9">
        <f>IF(H22="","",ROUND(H22,2)=ROUND($B$10,2))</f>
        <v/>
      </c>
      <c r="J22" s="7" t="n"/>
      <c r="K22" s="9">
        <f>IF(J22="","",J22&lt;=$B$11)</f>
        <v/>
      </c>
      <c r="L22" s="7" t="n"/>
      <c r="M22" s="7" t="n"/>
      <c r="N22" s="3" t="n"/>
    </row>
    <row r="23">
      <c r="A23" s="7" t="n"/>
      <c r="B23" s="8" t="n"/>
      <c r="C23" s="9">
        <f>IF(B23="","",DATEDIF(B23,$B$2,"m"))</f>
        <v/>
      </c>
      <c r="D23" s="9">
        <f>IF(C23="","",IF(C23&lt;=$B$3,"0-12 mo",IF(C23&lt;=$B$4,"13-24 mo",IF(C23&lt;=$B$5,"25-36 mo","36+ mo"))))</f>
        <v/>
      </c>
      <c r="E23" s="9">
        <f>IF(C23="","",IF(C23&lt;=$B$3,$B$6,IF(C23&lt;=$B$4,$B$7,IF(C23&lt;=$B$5,$B$8,$B$9))))</f>
        <v/>
      </c>
      <c r="F23" s="7" t="n"/>
      <c r="G23" s="9">
        <f>IF(OR(E23="",F23=""),"",ROUND(E23,2)=ROUND(F23,2))</f>
        <v/>
      </c>
      <c r="H23" s="7" t="n"/>
      <c r="I23" s="9">
        <f>IF(H23="","",ROUND(H23,2)=ROUND($B$10,2))</f>
        <v/>
      </c>
      <c r="J23" s="7" t="n"/>
      <c r="K23" s="9">
        <f>IF(J23="","",J23&lt;=$B$11)</f>
        <v/>
      </c>
      <c r="L23" s="7" t="n"/>
      <c r="M23" s="7" t="n"/>
      <c r="N23" s="3" t="n"/>
    </row>
    <row r="24">
      <c r="A24" s="7" t="n"/>
      <c r="B24" s="8" t="n"/>
      <c r="C24" s="9">
        <f>IF(B24="","",DATEDIF(B24,$B$2,"m"))</f>
        <v/>
      </c>
      <c r="D24" s="9">
        <f>IF(C24="","",IF(C24&lt;=$B$3,"0-12 mo",IF(C24&lt;=$B$4,"13-24 mo",IF(C24&lt;=$B$5,"25-36 mo","36+ mo"))))</f>
        <v/>
      </c>
      <c r="E24" s="9">
        <f>IF(C24="","",IF(C24&lt;=$B$3,$B$6,IF(C24&lt;=$B$4,$B$7,IF(C24&lt;=$B$5,$B$8,$B$9))))</f>
        <v/>
      </c>
      <c r="F24" s="7" t="n"/>
      <c r="G24" s="9">
        <f>IF(OR(E24="",F24=""),"",ROUND(E24,2)=ROUND(F24,2))</f>
        <v/>
      </c>
      <c r="H24" s="7" t="n"/>
      <c r="I24" s="9">
        <f>IF(H24="","",ROUND(H24,2)=ROUND($B$10,2))</f>
        <v/>
      </c>
      <c r="J24" s="7" t="n"/>
      <c r="K24" s="9">
        <f>IF(J24="","",J24&lt;=$B$11)</f>
        <v/>
      </c>
      <c r="L24" s="7" t="n"/>
      <c r="M24" s="7" t="n"/>
      <c r="N24" s="3" t="n"/>
    </row>
    <row r="25">
      <c r="A25" s="7" t="n"/>
      <c r="B25" s="8" t="n"/>
      <c r="C25" s="9">
        <f>IF(B25="","",DATEDIF(B25,$B$2,"m"))</f>
        <v/>
      </c>
      <c r="D25" s="9">
        <f>IF(C25="","",IF(C25&lt;=$B$3,"0-12 mo",IF(C25&lt;=$B$4,"13-24 mo",IF(C25&lt;=$B$5,"25-36 mo","36+ mo"))))</f>
        <v/>
      </c>
      <c r="E25" s="9">
        <f>IF(C25="","",IF(C25&lt;=$B$3,$B$6,IF(C25&lt;=$B$4,$B$7,IF(C25&lt;=$B$5,$B$8,$B$9))))</f>
        <v/>
      </c>
      <c r="F25" s="7" t="n"/>
      <c r="G25" s="9">
        <f>IF(OR(E25="",F25=""),"",ROUND(E25,2)=ROUND(F25,2))</f>
        <v/>
      </c>
      <c r="H25" s="7" t="n"/>
      <c r="I25" s="9">
        <f>IF(H25="","",ROUND(H25,2)=ROUND($B$10,2))</f>
        <v/>
      </c>
      <c r="J25" s="7" t="n"/>
      <c r="K25" s="9">
        <f>IF(J25="","",J25&lt;=$B$11)</f>
        <v/>
      </c>
      <c r="L25" s="7" t="n"/>
      <c r="M25" s="7" t="n"/>
      <c r="N25" s="3" t="n"/>
    </row>
    <row r="26">
      <c r="A26" s="7" t="n"/>
      <c r="B26" s="8" t="n"/>
      <c r="C26" s="9">
        <f>IF(B26="","",DATEDIF(B26,$B$2,"m"))</f>
        <v/>
      </c>
      <c r="D26" s="9">
        <f>IF(C26="","",IF(C26&lt;=$B$3,"0-12 mo",IF(C26&lt;=$B$4,"13-24 mo",IF(C26&lt;=$B$5,"25-36 mo","36+ mo"))))</f>
        <v/>
      </c>
      <c r="E26" s="9">
        <f>IF(C26="","",IF(C26&lt;=$B$3,$B$6,IF(C26&lt;=$B$4,$B$7,IF(C26&lt;=$B$5,$B$8,$B$9))))</f>
        <v/>
      </c>
      <c r="F26" s="7" t="n"/>
      <c r="G26" s="9">
        <f>IF(OR(E26="",F26=""),"",ROUND(E26,2)=ROUND(F26,2))</f>
        <v/>
      </c>
      <c r="H26" s="7" t="n"/>
      <c r="I26" s="9">
        <f>IF(H26="","",ROUND(H26,2)=ROUND($B$10,2))</f>
        <v/>
      </c>
      <c r="J26" s="7" t="n"/>
      <c r="K26" s="9">
        <f>IF(J26="","",J26&lt;=$B$11)</f>
        <v/>
      </c>
      <c r="L26" s="7" t="n"/>
      <c r="M26" s="7" t="n"/>
      <c r="N26" s="3" t="n"/>
    </row>
    <row r="27">
      <c r="A27" s="7" t="n"/>
      <c r="B27" s="8" t="n"/>
      <c r="C27" s="9">
        <f>IF(B27="","",DATEDIF(B27,$B$2,"m"))</f>
        <v/>
      </c>
      <c r="D27" s="9">
        <f>IF(C27="","",IF(C27&lt;=$B$3,"0-12 mo",IF(C27&lt;=$B$4,"13-24 mo",IF(C27&lt;=$B$5,"25-36 mo","36+ mo"))))</f>
        <v/>
      </c>
      <c r="E27" s="9">
        <f>IF(C27="","",IF(C27&lt;=$B$3,$B$6,IF(C27&lt;=$B$4,$B$7,IF(C27&lt;=$B$5,$B$8,$B$9))))</f>
        <v/>
      </c>
      <c r="F27" s="7" t="n"/>
      <c r="G27" s="9">
        <f>IF(OR(E27="",F27=""),"",ROUND(E27,2)=ROUND(F27,2))</f>
        <v/>
      </c>
      <c r="H27" s="7" t="n"/>
      <c r="I27" s="9">
        <f>IF(H27="","",ROUND(H27,2)=ROUND($B$10,2))</f>
        <v/>
      </c>
      <c r="J27" s="7" t="n"/>
      <c r="K27" s="9">
        <f>IF(J27="","",J27&lt;=$B$11)</f>
        <v/>
      </c>
      <c r="L27" s="7" t="n"/>
      <c r="M27" s="7" t="n"/>
      <c r="N27" s="3" t="n"/>
    </row>
    <row r="28">
      <c r="A28" s="7" t="n"/>
      <c r="B28" s="8" t="n"/>
      <c r="C28" s="9">
        <f>IF(B28="","",DATEDIF(B28,$B$2,"m"))</f>
        <v/>
      </c>
      <c r="D28" s="9">
        <f>IF(C28="","",IF(C28&lt;=$B$3,"0-12 mo",IF(C28&lt;=$B$4,"13-24 mo",IF(C28&lt;=$B$5,"25-36 mo","36+ mo"))))</f>
        <v/>
      </c>
      <c r="E28" s="9">
        <f>IF(C28="","",IF(C28&lt;=$B$3,$B$6,IF(C28&lt;=$B$4,$B$7,IF(C28&lt;=$B$5,$B$8,$B$9))))</f>
        <v/>
      </c>
      <c r="F28" s="7" t="n"/>
      <c r="G28" s="9">
        <f>IF(OR(E28="",F28=""),"",ROUND(E28,2)=ROUND(F28,2))</f>
        <v/>
      </c>
      <c r="H28" s="7" t="n"/>
      <c r="I28" s="9">
        <f>IF(H28="","",ROUND(H28,2)=ROUND($B$10,2))</f>
        <v/>
      </c>
      <c r="J28" s="7" t="n"/>
      <c r="K28" s="9">
        <f>IF(J28="","",J28&lt;=$B$11)</f>
        <v/>
      </c>
      <c r="L28" s="7" t="n"/>
      <c r="M28" s="7" t="n"/>
      <c r="N28" s="3" t="n"/>
    </row>
    <row r="29">
      <c r="A29" s="7" t="n"/>
      <c r="B29" s="8" t="n"/>
      <c r="C29" s="9">
        <f>IF(B29="","",DATEDIF(B29,$B$2,"m"))</f>
        <v/>
      </c>
      <c r="D29" s="9">
        <f>IF(C29="","",IF(C29&lt;=$B$3,"0-12 mo",IF(C29&lt;=$B$4,"13-24 mo",IF(C29&lt;=$B$5,"25-36 mo","36+ mo"))))</f>
        <v/>
      </c>
      <c r="E29" s="9">
        <f>IF(C29="","",IF(C29&lt;=$B$3,$B$6,IF(C29&lt;=$B$4,$B$7,IF(C29&lt;=$B$5,$B$8,$B$9))))</f>
        <v/>
      </c>
      <c r="F29" s="7" t="n"/>
      <c r="G29" s="9">
        <f>IF(OR(E29="",F29=""),"",ROUND(E29,2)=ROUND(F29,2))</f>
        <v/>
      </c>
      <c r="H29" s="7" t="n"/>
      <c r="I29" s="9">
        <f>IF(H29="","",ROUND(H29,2)=ROUND($B$10,2))</f>
        <v/>
      </c>
      <c r="J29" s="7" t="n"/>
      <c r="K29" s="9">
        <f>IF(J29="","",J29&lt;=$B$11)</f>
        <v/>
      </c>
      <c r="L29" s="7" t="n"/>
      <c r="M29" s="7" t="n"/>
      <c r="N29" s="3" t="n"/>
    </row>
    <row r="30">
      <c r="A30" s="7" t="n"/>
      <c r="B30" s="8" t="n"/>
      <c r="C30" s="9">
        <f>IF(B30="","",DATEDIF(B30,$B$2,"m"))</f>
        <v/>
      </c>
      <c r="D30" s="9">
        <f>IF(C30="","",IF(C30&lt;=$B$3,"0-12 mo",IF(C30&lt;=$B$4,"13-24 mo",IF(C30&lt;=$B$5,"25-36 mo","36+ mo"))))</f>
        <v/>
      </c>
      <c r="E30" s="9">
        <f>IF(C30="","",IF(C30&lt;=$B$3,$B$6,IF(C30&lt;=$B$4,$B$7,IF(C30&lt;=$B$5,$B$8,$B$9))))</f>
        <v/>
      </c>
      <c r="F30" s="7" t="n"/>
      <c r="G30" s="9">
        <f>IF(OR(E30="",F30=""),"",ROUND(E30,2)=ROUND(F30,2))</f>
        <v/>
      </c>
      <c r="H30" s="7" t="n"/>
      <c r="I30" s="9">
        <f>IF(H30="","",ROUND(H30,2)=ROUND($B$10,2))</f>
        <v/>
      </c>
      <c r="J30" s="7" t="n"/>
      <c r="K30" s="9">
        <f>IF(J30="","",J30&lt;=$B$11)</f>
        <v/>
      </c>
      <c r="L30" s="7" t="n"/>
      <c r="M30" s="7" t="n"/>
      <c r="N30" s="3" t="n"/>
    </row>
    <row r="31">
      <c r="A31" s="7" t="n"/>
      <c r="B31" s="8" t="n"/>
      <c r="C31" s="9">
        <f>IF(B31="","",DATEDIF(B31,$B$2,"m"))</f>
        <v/>
      </c>
      <c r="D31" s="9">
        <f>IF(C31="","",IF(C31&lt;=$B$3,"0-12 mo",IF(C31&lt;=$B$4,"13-24 mo",IF(C31&lt;=$B$5,"25-36 mo","36+ mo"))))</f>
        <v/>
      </c>
      <c r="E31" s="9">
        <f>IF(C31="","",IF(C31&lt;=$B$3,$B$6,IF(C31&lt;=$B$4,$B$7,IF(C31&lt;=$B$5,$B$8,$B$9))))</f>
        <v/>
      </c>
      <c r="F31" s="7" t="n"/>
      <c r="G31" s="9">
        <f>IF(OR(E31="",F31=""),"",ROUND(E31,2)=ROUND(F31,2))</f>
        <v/>
      </c>
      <c r="H31" s="7" t="n"/>
      <c r="I31" s="9">
        <f>IF(H31="","",ROUND(H31,2)=ROUND($B$10,2))</f>
        <v/>
      </c>
      <c r="J31" s="7" t="n"/>
      <c r="K31" s="9">
        <f>IF(J31="","",J31&lt;=$B$11)</f>
        <v/>
      </c>
      <c r="L31" s="7" t="n"/>
      <c r="M31" s="7" t="n"/>
      <c r="N31" s="3" t="n"/>
    </row>
    <row r="32">
      <c r="A32" s="7" t="n"/>
      <c r="B32" s="8" t="n"/>
      <c r="C32" s="9">
        <f>IF(B32="","",DATEDIF(B32,$B$2,"m"))</f>
        <v/>
      </c>
      <c r="D32" s="9">
        <f>IF(C32="","",IF(C32&lt;=$B$3,"0-12 mo",IF(C32&lt;=$B$4,"13-24 mo",IF(C32&lt;=$B$5,"25-36 mo","36+ mo"))))</f>
        <v/>
      </c>
      <c r="E32" s="9">
        <f>IF(C32="","",IF(C32&lt;=$B$3,$B$6,IF(C32&lt;=$B$4,$B$7,IF(C32&lt;=$B$5,$B$8,$B$9))))</f>
        <v/>
      </c>
      <c r="F32" s="7" t="n"/>
      <c r="G32" s="9">
        <f>IF(OR(E32="",F32=""),"",ROUND(E32,2)=ROUND(F32,2))</f>
        <v/>
      </c>
      <c r="H32" s="7" t="n"/>
      <c r="I32" s="9">
        <f>IF(H32="","",ROUND(H32,2)=ROUND($B$10,2))</f>
        <v/>
      </c>
      <c r="J32" s="7" t="n"/>
      <c r="K32" s="9">
        <f>IF(J32="","",J32&lt;=$B$11)</f>
        <v/>
      </c>
      <c r="L32" s="7" t="n"/>
      <c r="M32" s="7" t="n"/>
      <c r="N32" s="3" t="n"/>
    </row>
    <row r="33">
      <c r="A33" s="7" t="n"/>
      <c r="B33" s="8" t="n"/>
      <c r="C33" s="9">
        <f>IF(B33="","",DATEDIF(B33,$B$2,"m"))</f>
        <v/>
      </c>
      <c r="D33" s="9">
        <f>IF(C33="","",IF(C33&lt;=$B$3,"0-12 mo",IF(C33&lt;=$B$4,"13-24 mo",IF(C33&lt;=$B$5,"25-36 mo","36+ mo"))))</f>
        <v/>
      </c>
      <c r="E33" s="9">
        <f>IF(C33="","",IF(C33&lt;=$B$3,$B$6,IF(C33&lt;=$B$4,$B$7,IF(C33&lt;=$B$5,$B$8,$B$9))))</f>
        <v/>
      </c>
      <c r="F33" s="7" t="n"/>
      <c r="G33" s="9">
        <f>IF(OR(E33="",F33=""),"",ROUND(E33,2)=ROUND(F33,2))</f>
        <v/>
      </c>
      <c r="H33" s="7" t="n"/>
      <c r="I33" s="9">
        <f>IF(H33="","",ROUND(H33,2)=ROUND($B$10,2))</f>
        <v/>
      </c>
      <c r="J33" s="7" t="n"/>
      <c r="K33" s="9">
        <f>IF(J33="","",J33&lt;=$B$11)</f>
        <v/>
      </c>
      <c r="L33" s="7" t="n"/>
      <c r="M33" s="7" t="n"/>
      <c r="N33" s="3" t="n"/>
    </row>
    <row r="34">
      <c r="A34" s="7" t="n"/>
      <c r="B34" s="8" t="n"/>
      <c r="C34" s="9">
        <f>IF(B34="","",DATEDIF(B34,$B$2,"m"))</f>
        <v/>
      </c>
      <c r="D34" s="9">
        <f>IF(C34="","",IF(C34&lt;=$B$3,"0-12 mo",IF(C34&lt;=$B$4,"13-24 mo",IF(C34&lt;=$B$5,"25-36 mo","36+ mo"))))</f>
        <v/>
      </c>
      <c r="E34" s="9">
        <f>IF(C34="","",IF(C34&lt;=$B$3,$B$6,IF(C34&lt;=$B$4,$B$7,IF(C34&lt;=$B$5,$B$8,$B$9))))</f>
        <v/>
      </c>
      <c r="F34" s="7" t="n"/>
      <c r="G34" s="9">
        <f>IF(OR(E34="",F34=""),"",ROUND(E34,2)=ROUND(F34,2))</f>
        <v/>
      </c>
      <c r="H34" s="7" t="n"/>
      <c r="I34" s="9">
        <f>IF(H34="","",ROUND(H34,2)=ROUND($B$10,2))</f>
        <v/>
      </c>
      <c r="J34" s="7" t="n"/>
      <c r="K34" s="9">
        <f>IF(J34="","",J34&lt;=$B$11)</f>
        <v/>
      </c>
      <c r="L34" s="7" t="n"/>
      <c r="M34" s="7" t="n"/>
      <c r="N34" s="3" t="n"/>
    </row>
    <row r="35">
      <c r="A35" s="7" t="n"/>
      <c r="B35" s="8" t="n"/>
      <c r="C35" s="9">
        <f>IF(B35="","",DATEDIF(B35,$B$2,"m"))</f>
        <v/>
      </c>
      <c r="D35" s="9">
        <f>IF(C35="","",IF(C35&lt;=$B$3,"0-12 mo",IF(C35&lt;=$B$4,"13-24 mo",IF(C35&lt;=$B$5,"25-36 mo","36+ mo"))))</f>
        <v/>
      </c>
      <c r="E35" s="9">
        <f>IF(C35="","",IF(C35&lt;=$B$3,$B$6,IF(C35&lt;=$B$4,$B$7,IF(C35&lt;=$B$5,$B$8,$B$9))))</f>
        <v/>
      </c>
      <c r="F35" s="7" t="n"/>
      <c r="G35" s="9">
        <f>IF(OR(E35="",F35=""),"",ROUND(E35,2)=ROUND(F35,2))</f>
        <v/>
      </c>
      <c r="H35" s="7" t="n"/>
      <c r="I35" s="9">
        <f>IF(H35="","",ROUND(H35,2)=ROUND($B$10,2))</f>
        <v/>
      </c>
      <c r="J35" s="7" t="n"/>
      <c r="K35" s="9">
        <f>IF(J35="","",J35&lt;=$B$11)</f>
        <v/>
      </c>
      <c r="L35" s="7" t="n"/>
      <c r="M35" s="7" t="n"/>
      <c r="N35" s="3" t="n"/>
    </row>
    <row r="36">
      <c r="A36" s="7" t="n"/>
      <c r="B36" s="8" t="n"/>
      <c r="C36" s="9">
        <f>IF(B36="","",DATEDIF(B36,$B$2,"m"))</f>
        <v/>
      </c>
      <c r="D36" s="9">
        <f>IF(C36="","",IF(C36&lt;=$B$3,"0-12 mo",IF(C36&lt;=$B$4,"13-24 mo",IF(C36&lt;=$B$5,"25-36 mo","36+ mo"))))</f>
        <v/>
      </c>
      <c r="E36" s="9">
        <f>IF(C36="","",IF(C36&lt;=$B$3,$B$6,IF(C36&lt;=$B$4,$B$7,IF(C36&lt;=$B$5,$B$8,$B$9))))</f>
        <v/>
      </c>
      <c r="F36" s="7" t="n"/>
      <c r="G36" s="9">
        <f>IF(OR(E36="",F36=""),"",ROUND(E36,2)=ROUND(F36,2))</f>
        <v/>
      </c>
      <c r="H36" s="7" t="n"/>
      <c r="I36" s="9">
        <f>IF(H36="","",ROUND(H36,2)=ROUND($B$10,2))</f>
        <v/>
      </c>
      <c r="J36" s="7" t="n"/>
      <c r="K36" s="9">
        <f>IF(J36="","",J36&lt;=$B$11)</f>
        <v/>
      </c>
      <c r="L36" s="7" t="n"/>
      <c r="M36" s="7" t="n"/>
      <c r="N36" s="3" t="n"/>
    </row>
    <row r="37">
      <c r="A37" s="7" t="n"/>
      <c r="B37" s="8" t="n"/>
      <c r="C37" s="9">
        <f>IF(B37="","",DATEDIF(B37,$B$2,"m"))</f>
        <v/>
      </c>
      <c r="D37" s="9">
        <f>IF(C37="","",IF(C37&lt;=$B$3,"0-12 mo",IF(C37&lt;=$B$4,"13-24 mo",IF(C37&lt;=$B$5,"25-36 mo","36+ mo"))))</f>
        <v/>
      </c>
      <c r="E37" s="9">
        <f>IF(C37="","",IF(C37&lt;=$B$3,$B$6,IF(C37&lt;=$B$4,$B$7,IF(C37&lt;=$B$5,$B$8,$B$9))))</f>
        <v/>
      </c>
      <c r="F37" s="7" t="n"/>
      <c r="G37" s="9">
        <f>IF(OR(E37="",F37=""),"",ROUND(E37,2)=ROUND(F37,2))</f>
        <v/>
      </c>
      <c r="H37" s="7" t="n"/>
      <c r="I37" s="9">
        <f>IF(H37="","",ROUND(H37,2)=ROUND($B$10,2))</f>
        <v/>
      </c>
      <c r="J37" s="7" t="n"/>
      <c r="K37" s="9">
        <f>IF(J37="","",J37&lt;=$B$11)</f>
        <v/>
      </c>
      <c r="L37" s="7" t="n"/>
      <c r="M37" s="7" t="n"/>
      <c r="N37" s="3" t="n"/>
    </row>
    <row r="38">
      <c r="A38" s="7" t="n"/>
      <c r="B38" s="8" t="n"/>
      <c r="C38" s="9">
        <f>IF(B38="","",DATEDIF(B38,$B$2,"m"))</f>
        <v/>
      </c>
      <c r="D38" s="9">
        <f>IF(C38="","",IF(C38&lt;=$B$3,"0-12 mo",IF(C38&lt;=$B$4,"13-24 mo",IF(C38&lt;=$B$5,"25-36 mo","36+ mo"))))</f>
        <v/>
      </c>
      <c r="E38" s="9">
        <f>IF(C38="","",IF(C38&lt;=$B$3,$B$6,IF(C38&lt;=$B$4,$B$7,IF(C38&lt;=$B$5,$B$8,$B$9))))</f>
        <v/>
      </c>
      <c r="F38" s="7" t="n"/>
      <c r="G38" s="9">
        <f>IF(OR(E38="",F38=""),"",ROUND(E38,2)=ROUND(F38,2))</f>
        <v/>
      </c>
      <c r="H38" s="7" t="n"/>
      <c r="I38" s="9">
        <f>IF(H38="","",ROUND(H38,2)=ROUND($B$10,2))</f>
        <v/>
      </c>
      <c r="J38" s="7" t="n"/>
      <c r="K38" s="9">
        <f>IF(J38="","",J38&lt;=$B$11)</f>
        <v/>
      </c>
      <c r="L38" s="7" t="n"/>
      <c r="M38" s="7" t="n"/>
      <c r="N38" s="3" t="n"/>
    </row>
    <row r="39">
      <c r="A39" s="7" t="n"/>
      <c r="B39" s="8" t="n"/>
      <c r="C39" s="9">
        <f>IF(B39="","",DATEDIF(B39,$B$2,"m"))</f>
        <v/>
      </c>
      <c r="D39" s="9">
        <f>IF(C39="","",IF(C39&lt;=$B$3,"0-12 mo",IF(C39&lt;=$B$4,"13-24 mo",IF(C39&lt;=$B$5,"25-36 mo","36+ mo"))))</f>
        <v/>
      </c>
      <c r="E39" s="9">
        <f>IF(C39="","",IF(C39&lt;=$B$3,$B$6,IF(C39&lt;=$B$4,$B$7,IF(C39&lt;=$B$5,$B$8,$B$9))))</f>
        <v/>
      </c>
      <c r="F39" s="7" t="n"/>
      <c r="G39" s="9">
        <f>IF(OR(E39="",F39=""),"",ROUND(E39,2)=ROUND(F39,2))</f>
        <v/>
      </c>
      <c r="H39" s="7" t="n"/>
      <c r="I39" s="9">
        <f>IF(H39="","",ROUND(H39,2)=ROUND($B$10,2))</f>
        <v/>
      </c>
      <c r="J39" s="7" t="n"/>
      <c r="K39" s="9">
        <f>IF(J39="","",J39&lt;=$B$11)</f>
        <v/>
      </c>
      <c r="L39" s="7" t="n"/>
      <c r="M39" s="7" t="n"/>
      <c r="N39" s="3" t="n"/>
    </row>
    <row r="40">
      <c r="A40" s="7" t="n"/>
      <c r="B40" s="8" t="n"/>
      <c r="C40" s="9">
        <f>IF(B40="","",DATEDIF(B40,$B$2,"m"))</f>
        <v/>
      </c>
      <c r="D40" s="9">
        <f>IF(C40="","",IF(C40&lt;=$B$3,"0-12 mo",IF(C40&lt;=$B$4,"13-24 mo",IF(C40&lt;=$B$5,"25-36 mo","36+ mo"))))</f>
        <v/>
      </c>
      <c r="E40" s="9">
        <f>IF(C40="","",IF(C40&lt;=$B$3,$B$6,IF(C40&lt;=$B$4,$B$7,IF(C40&lt;=$B$5,$B$8,$B$9))))</f>
        <v/>
      </c>
      <c r="F40" s="7" t="n"/>
      <c r="G40" s="9">
        <f>IF(OR(E40="",F40=""),"",ROUND(E40,2)=ROUND(F40,2))</f>
        <v/>
      </c>
      <c r="H40" s="7" t="n"/>
      <c r="I40" s="9">
        <f>IF(H40="","",ROUND(H40,2)=ROUND($B$10,2))</f>
        <v/>
      </c>
      <c r="J40" s="7" t="n"/>
      <c r="K40" s="9">
        <f>IF(J40="","",J40&lt;=$B$11)</f>
        <v/>
      </c>
      <c r="L40" s="7" t="n"/>
      <c r="M40" s="7" t="n"/>
      <c r="N40" s="3" t="n"/>
    </row>
    <row r="41">
      <c r="A41" s="7" t="n"/>
      <c r="B41" s="8" t="n"/>
      <c r="C41" s="9">
        <f>IF(B41="","",DATEDIF(B41,$B$2,"m"))</f>
        <v/>
      </c>
      <c r="D41" s="9">
        <f>IF(C41="","",IF(C41&lt;=$B$3,"0-12 mo",IF(C41&lt;=$B$4,"13-24 mo",IF(C41&lt;=$B$5,"25-36 mo","36+ mo"))))</f>
        <v/>
      </c>
      <c r="E41" s="9">
        <f>IF(C41="","",IF(C41&lt;=$B$3,$B$6,IF(C41&lt;=$B$4,$B$7,IF(C41&lt;=$B$5,$B$8,$B$9))))</f>
        <v/>
      </c>
      <c r="F41" s="7" t="n"/>
      <c r="G41" s="9">
        <f>IF(OR(E41="",F41=""),"",ROUND(E41,2)=ROUND(F41,2))</f>
        <v/>
      </c>
      <c r="H41" s="7" t="n"/>
      <c r="I41" s="9">
        <f>IF(H41="","",ROUND(H41,2)=ROUND($B$10,2))</f>
        <v/>
      </c>
      <c r="J41" s="7" t="n"/>
      <c r="K41" s="9">
        <f>IF(J41="","",J41&lt;=$B$11)</f>
        <v/>
      </c>
      <c r="L41" s="7" t="n"/>
      <c r="M41" s="7" t="n"/>
      <c r="N41" s="3" t="n"/>
    </row>
    <row r="42">
      <c r="A42" s="7" t="n"/>
      <c r="B42" s="8" t="n"/>
      <c r="C42" s="9">
        <f>IF(B42="","",DATEDIF(B42,$B$2,"m"))</f>
        <v/>
      </c>
      <c r="D42" s="9">
        <f>IF(C42="","",IF(C42&lt;=$B$3,"0-12 mo",IF(C42&lt;=$B$4,"13-24 mo",IF(C42&lt;=$B$5,"25-36 mo","36+ mo"))))</f>
        <v/>
      </c>
      <c r="E42" s="9">
        <f>IF(C42="","",IF(C42&lt;=$B$3,$B$6,IF(C42&lt;=$B$4,$B$7,IF(C42&lt;=$B$5,$B$8,$B$9))))</f>
        <v/>
      </c>
      <c r="F42" s="7" t="n"/>
      <c r="G42" s="9">
        <f>IF(OR(E42="",F42=""),"",ROUND(E42,2)=ROUND(F42,2))</f>
        <v/>
      </c>
      <c r="H42" s="7" t="n"/>
      <c r="I42" s="9">
        <f>IF(H42="","",ROUND(H42,2)=ROUND($B$10,2))</f>
        <v/>
      </c>
      <c r="J42" s="7" t="n"/>
      <c r="K42" s="9">
        <f>IF(J42="","",J42&lt;=$B$11)</f>
        <v/>
      </c>
      <c r="L42" s="7" t="n"/>
      <c r="M42" s="7" t="n"/>
      <c r="N42" s="3" t="n"/>
    </row>
    <row r="43">
      <c r="A43" s="7" t="n"/>
      <c r="B43" s="8" t="n"/>
      <c r="C43" s="9">
        <f>IF(B43="","",DATEDIF(B43,$B$2,"m"))</f>
        <v/>
      </c>
      <c r="D43" s="9">
        <f>IF(C43="","",IF(C43&lt;=$B$3,"0-12 mo",IF(C43&lt;=$B$4,"13-24 mo",IF(C43&lt;=$B$5,"25-36 mo","36+ mo"))))</f>
        <v/>
      </c>
      <c r="E43" s="9">
        <f>IF(C43="","",IF(C43&lt;=$B$3,$B$6,IF(C43&lt;=$B$4,$B$7,IF(C43&lt;=$B$5,$B$8,$B$9))))</f>
        <v/>
      </c>
      <c r="F43" s="7" t="n"/>
      <c r="G43" s="9">
        <f>IF(OR(E43="",F43=""),"",ROUND(E43,2)=ROUND(F43,2))</f>
        <v/>
      </c>
      <c r="H43" s="7" t="n"/>
      <c r="I43" s="9">
        <f>IF(H43="","",ROUND(H43,2)=ROUND($B$10,2))</f>
        <v/>
      </c>
      <c r="J43" s="7" t="n"/>
      <c r="K43" s="9">
        <f>IF(J43="","",J43&lt;=$B$11)</f>
        <v/>
      </c>
      <c r="L43" s="7" t="n"/>
      <c r="M43" s="7" t="n"/>
      <c r="N43" s="3" t="n"/>
    </row>
  </sheetData>
  <conditionalFormatting sqref="G14:G43">
    <cfRule type="expression" priority="1" dxfId="0">
      <formula>G14=FALSE</formula>
    </cfRule>
  </conditionalFormatting>
  <conditionalFormatting sqref="I14:I43">
    <cfRule type="expression" priority="2" dxfId="0">
      <formula>I14=FALSE</formula>
    </cfRule>
  </conditionalFormatting>
  <conditionalFormatting sqref="K14:K43">
    <cfRule type="expression" priority="3" dxfId="0">
      <formula>K14=FALSE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2026-08-18T01:13:31Z</dcterms:created>
  <dcterms:modified xmlns:dcterms="http://purl.org/dc/terms/" xmlns:xsi="http://www.w3.org/2001/XMLSchema-instance" xsi:type="dcterms:W3CDTF">2026-08-18T01:13:31Z</dcterms:modified>
</cp:coreProperties>
</file>